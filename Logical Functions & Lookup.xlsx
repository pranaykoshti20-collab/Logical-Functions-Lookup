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916" documentId="11_0B1D56BE9CDCCE836B02CE7A5FB0D4A9BBFD1C62" xr6:coauthVersionLast="47" xr6:coauthVersionMax="47" xr10:uidLastSave="{8B1AD827-D643-4A60-9ECB-05718A2CB63C}"/>
  <bookViews>
    <workbookView xWindow="240" yWindow="105" windowWidth="14805" windowHeight="8010" activeTab="1" xr2:uid="{00000000-000D-0000-FFFF-FFFF00000000}"/>
  </bookViews>
  <sheets>
    <sheet name="Question No - 1. to 4." sheetId="5" r:id="rId1"/>
    <sheet name="Question No - 5. to 8.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6" l="1"/>
  <c r="B61" i="6"/>
  <c r="E38" i="6"/>
  <c r="E39" i="6"/>
  <c r="E37" i="6"/>
  <c r="B21" i="6"/>
  <c r="B80" i="5"/>
  <c r="D59" i="5"/>
  <c r="D60" i="5"/>
  <c r="D61" i="5"/>
  <c r="D58" i="5"/>
  <c r="D57" i="5"/>
  <c r="E39" i="5"/>
  <c r="E40" i="5"/>
  <c r="E41" i="5"/>
  <c r="E38" i="5"/>
  <c r="D16" i="5"/>
  <c r="D17" i="5"/>
  <c r="D18" i="5"/>
  <c r="D19" i="5"/>
  <c r="D15" i="5"/>
</calcChain>
</file>

<file path=xl/sharedStrings.xml><?xml version="1.0" encoding="utf-8"?>
<sst xmlns="http://schemas.openxmlformats.org/spreadsheetml/2006/main" count="111" uniqueCount="73">
  <si>
    <t>Question:- 1</t>
  </si>
  <si>
    <t>Answer:-</t>
  </si>
  <si>
    <t>Student Name</t>
  </si>
  <si>
    <t>Marks</t>
  </si>
  <si>
    <t>Result</t>
  </si>
  <si>
    <t>Riya</t>
  </si>
  <si>
    <t>-&gt;</t>
  </si>
  <si>
    <t>IF FUNCTION USED TO IDENTIFIED THE RESULT WETHER PASS OR FAIL AS PER THE REQUIRED MARKS.</t>
  </si>
  <si>
    <t>Siya</t>
  </si>
  <si>
    <t>FORMULA USED</t>
  </si>
  <si>
    <r>
      <t>IF(</t>
    </r>
    <r>
      <rPr>
        <b/>
        <sz val="11"/>
        <color rgb="FF006CBE"/>
        <rFont val="Consolas"/>
        <charset val="1"/>
      </rPr>
      <t>C15</t>
    </r>
    <r>
      <rPr>
        <b/>
        <sz val="11"/>
        <color rgb="FF242424"/>
        <rFont val="Consolas"/>
        <charset val="1"/>
      </rPr>
      <t>&gt;=40,"Pass","Fail")</t>
    </r>
  </si>
  <si>
    <t>Raju</t>
  </si>
  <si>
    <t>Rahul</t>
  </si>
  <si>
    <t>Ram</t>
  </si>
  <si>
    <t>-----------------------------------------------------------------------------------------------------------------------------------------------------------</t>
  </si>
  <si>
    <t>Question:- 2</t>
  </si>
  <si>
    <t>Employee</t>
  </si>
  <si>
    <t>Sales</t>
  </si>
  <si>
    <t>Attendance</t>
  </si>
  <si>
    <t>Arjun</t>
  </si>
  <si>
    <r>
      <t>FORMULA USED -&gt; IF(AND(</t>
    </r>
    <r>
      <rPr>
        <b/>
        <sz val="12"/>
        <color rgb="FF006CBE"/>
        <rFont val="Consolas"/>
      </rPr>
      <t>C38</t>
    </r>
    <r>
      <rPr>
        <b/>
        <sz val="12"/>
        <color rgb="FF242424"/>
        <rFont val="Consolas"/>
      </rPr>
      <t>&gt;40000,</t>
    </r>
    <r>
      <rPr>
        <b/>
        <sz val="12"/>
        <color rgb="FFBC2F32"/>
        <rFont val="Consolas"/>
      </rPr>
      <t>D38</t>
    </r>
    <r>
      <rPr>
        <b/>
        <sz val="12"/>
        <color rgb="FF242424"/>
        <rFont val="Consolas"/>
      </rPr>
      <t>&gt;=90),"Bonus","No-Bonus")</t>
    </r>
  </si>
  <si>
    <t>Simran</t>
  </si>
  <si>
    <t>Rohit</t>
  </si>
  <si>
    <t>Anjali</t>
  </si>
  <si>
    <t>Question:- 3</t>
  </si>
  <si>
    <t>Raj</t>
  </si>
  <si>
    <t>FORMULA USED -&gt; IF(C57&gt;=90,"A",IF(C57&gt;=75,"B",IF(C57&gt;=50,"C","Fail")))</t>
  </si>
  <si>
    <t>Neha</t>
  </si>
  <si>
    <t>Vivek</t>
  </si>
  <si>
    <t>Rani</t>
  </si>
  <si>
    <t>Sneha</t>
  </si>
  <si>
    <t>Question:- 4</t>
  </si>
  <si>
    <t>EmpID</t>
  </si>
  <si>
    <t>Name</t>
  </si>
  <si>
    <t>Department</t>
  </si>
  <si>
    <t>E101</t>
  </si>
  <si>
    <t>IT</t>
  </si>
  <si>
    <t>E102</t>
  </si>
  <si>
    <t>HR</t>
  </si>
  <si>
    <t>VLOOKUP is used because the Employee ID is in the first column and we want to find the Department from the same row using an exact match.</t>
  </si>
  <si>
    <t>E103</t>
  </si>
  <si>
    <t>Roshni</t>
  </si>
  <si>
    <t>Finance</t>
  </si>
  <si>
    <t>FORMULA USED -&gt; VLOOKUP(B77,B74:D78,3,FALSE)</t>
  </si>
  <si>
    <t>E104</t>
  </si>
  <si>
    <t>Sejal</t>
  </si>
  <si>
    <t>Result :-</t>
  </si>
  <si>
    <t>Question:- 5</t>
  </si>
  <si>
    <t>Answer :-</t>
  </si>
  <si>
    <t>Sales Amount</t>
  </si>
  <si>
    <t>Commission Rate</t>
  </si>
  <si>
    <t>VLOOKUP with TRUE is used because the commission is based on sales ranges and not exact values.</t>
  </si>
  <si>
    <t>Sales person Achieves 45,000 of sales.</t>
  </si>
  <si>
    <t>Formula used -&gt;</t>
  </si>
  <si>
    <r>
      <t>VLOOKUP(45000,</t>
    </r>
    <r>
      <rPr>
        <b/>
        <sz val="11"/>
        <color rgb="FF006CBE"/>
        <rFont val="Consolas"/>
        <charset val="1"/>
      </rPr>
      <t>B13:C17</t>
    </r>
    <r>
      <rPr>
        <b/>
        <sz val="11"/>
        <color rgb="FF242424"/>
        <rFont val="Consolas"/>
        <charset val="1"/>
      </rPr>
      <t>,2,TRUE)</t>
    </r>
  </si>
  <si>
    <t>Question:- 6</t>
  </si>
  <si>
    <t>Employee Name</t>
  </si>
  <si>
    <t>Leaves Taken</t>
  </si>
  <si>
    <t>Leaves Allowed</t>
  </si>
  <si>
    <t>Alex</t>
  </si>
  <si>
    <t>Bob</t>
  </si>
  <si>
    <t>Anna</t>
  </si>
  <si>
    <r>
      <t>IF(</t>
    </r>
    <r>
      <rPr>
        <b/>
        <sz val="11"/>
        <color rgb="FF006CBE"/>
        <rFont val="Consolas"/>
        <charset val="1"/>
      </rPr>
      <t>C37</t>
    </r>
    <r>
      <rPr>
        <b/>
        <sz val="11"/>
        <color rgb="FF242424"/>
        <rFont val="Consolas"/>
        <charset val="1"/>
      </rPr>
      <t>&gt;</t>
    </r>
    <r>
      <rPr>
        <b/>
        <sz val="11"/>
        <color rgb="FFBC2F32"/>
        <rFont val="Consolas"/>
        <charset val="1"/>
      </rPr>
      <t>D37</t>
    </r>
    <r>
      <rPr>
        <b/>
        <sz val="11"/>
        <color rgb="FF242424"/>
        <rFont val="Consolas"/>
        <charset val="1"/>
      </rPr>
      <t>,"Ecxeed","OK")</t>
    </r>
  </si>
  <si>
    <t>Question:- 7</t>
  </si>
  <si>
    <t>Salary</t>
  </si>
  <si>
    <t>E105</t>
  </si>
  <si>
    <t>E106</t>
  </si>
  <si>
    <r>
      <t>INDEX(</t>
    </r>
    <r>
      <rPr>
        <b/>
        <sz val="11"/>
        <color rgb="FF006CBE"/>
        <rFont val="Consolas"/>
        <charset val="1"/>
      </rPr>
      <t>C56:C59</t>
    </r>
    <r>
      <rPr>
        <b/>
        <sz val="11"/>
        <color rgb="FF242424"/>
        <rFont val="Consolas"/>
        <charset val="1"/>
      </rPr>
      <t>,MATCH("E105",</t>
    </r>
    <r>
      <rPr>
        <b/>
        <sz val="11"/>
        <color rgb="FFBC2F32"/>
        <rFont val="Consolas"/>
        <charset val="1"/>
      </rPr>
      <t>B56:B59</t>
    </r>
    <r>
      <rPr>
        <b/>
        <sz val="11"/>
        <color rgb="FF242424"/>
        <rFont val="Consolas"/>
        <charset val="1"/>
      </rPr>
      <t>,0))</t>
    </r>
  </si>
  <si>
    <t>Question:- 8</t>
  </si>
  <si>
    <t>E303</t>
  </si>
  <si>
    <t>E301</t>
  </si>
  <si>
    <r>
      <t>XLOOKUP(</t>
    </r>
    <r>
      <rPr>
        <b/>
        <sz val="11"/>
        <color rgb="FF006CBE"/>
        <rFont val="Consolas"/>
        <charset val="1"/>
      </rPr>
      <t>B78</t>
    </r>
    <r>
      <rPr>
        <b/>
        <sz val="11"/>
        <color rgb="FF242424"/>
        <rFont val="Consolas"/>
        <charset val="1"/>
      </rPr>
      <t>,</t>
    </r>
    <r>
      <rPr>
        <b/>
        <sz val="11"/>
        <color rgb="FFBC2F32"/>
        <rFont val="Consolas"/>
        <charset val="1"/>
      </rPr>
      <t>B76:B80</t>
    </r>
    <r>
      <rPr>
        <b/>
        <sz val="11"/>
        <color rgb="FF242424"/>
        <rFont val="Consolas"/>
        <charset val="1"/>
      </rPr>
      <t>,</t>
    </r>
    <r>
      <rPr>
        <b/>
        <sz val="11"/>
        <color rgb="FF7C53AC"/>
        <rFont val="Consolas"/>
        <charset val="1"/>
      </rPr>
      <t>C76:C80</t>
    </r>
    <r>
      <rPr>
        <b/>
        <sz val="11"/>
        <color rgb="FF242424"/>
        <rFont val="Consolas"/>
        <charset val="1"/>
      </rPr>
      <t>)</t>
    </r>
  </si>
  <si>
    <t>-------------------------------------------------------------Thank You----------------------------------------------------------------------------------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</si>
</sst>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242424"/>
      <name val="Consolas"/>
      <charset val="1"/>
    </font>
    <font>
      <b/>
      <sz val="11"/>
      <color rgb="FF006CBE"/>
      <name val="Consolas"/>
      <charset val="1"/>
    </font>
    <font>
      <b/>
      <sz val="11"/>
      <color rgb="FFBC2F32"/>
      <name val="Consolas"/>
      <charset val="1"/>
    </font>
    <font>
      <b/>
      <sz val="12"/>
      <color rgb="FF242424"/>
      <name val="Consolas"/>
    </font>
    <font>
      <b/>
      <sz val="12"/>
      <color rgb="FF006CBE"/>
      <name val="Consolas"/>
    </font>
    <font>
      <b/>
      <sz val="12"/>
      <color rgb="FFBC2F32"/>
      <name val="Consolas"/>
    </font>
    <font>
      <b/>
      <sz val="11"/>
      <color rgb="FF000000"/>
      <name val="Aptos Narrow"/>
    </font>
    <font>
      <b/>
      <sz val="11"/>
      <color rgb="FF7C53AC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5" fillId="3" borderId="0" xfId="0" applyFont="1" applyFill="1"/>
    <xf numFmtId="0" fontId="8" fillId="3" borderId="7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/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/>
    <xf numFmtId="0" fontId="2" fillId="3" borderId="8" xfId="0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5" fillId="3" borderId="0" xfId="0" applyFont="1" applyFill="1" applyAlignment="1"/>
    <xf numFmtId="165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152400</xdr:rowOff>
    </xdr:from>
    <xdr:to>
      <xdr:col>5</xdr:col>
      <xdr:colOff>962025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111B0-FBFE-C362-6AE2-461723E0E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42900"/>
          <a:ext cx="5762625" cy="1781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133350</xdr:rowOff>
    </xdr:from>
    <xdr:to>
      <xdr:col>5</xdr:col>
      <xdr:colOff>1314450</xdr:colOff>
      <xdr:row>34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29B8E4-77C1-8FD8-8153-47F92F722CFA}"/>
            </a:ext>
            <a:ext uri="{147F2762-F138-4A5C-976F-8EAC2B608ADB}">
              <a16:predDERef xmlns:a16="http://schemas.microsoft.com/office/drawing/2014/main" pred="{4EA111B0-FBFE-C362-6AE2-461723E0E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48175"/>
          <a:ext cx="6124575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5</xdr:col>
      <xdr:colOff>628650</xdr:colOff>
      <xdr:row>53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3F4ED9-B875-0900-9902-224AFD25EDBF}"/>
            </a:ext>
            <a:ext uri="{147F2762-F138-4A5C-976F-8EAC2B608ADB}">
              <a16:predDERef xmlns:a16="http://schemas.microsoft.com/office/drawing/2014/main" pred="{0029B8E4-77C1-8FD8-8153-47F92F722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82100"/>
          <a:ext cx="5438775" cy="1543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57150</xdr:rowOff>
    </xdr:from>
    <xdr:to>
      <xdr:col>5</xdr:col>
      <xdr:colOff>847725</xdr:colOff>
      <xdr:row>72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79A02C-3687-2FF1-7F27-7B9462A387B2}"/>
            </a:ext>
            <a:ext uri="{147F2762-F138-4A5C-976F-8EAC2B608ADB}">
              <a16:predDERef xmlns:a16="http://schemas.microsoft.com/office/drawing/2014/main" pred="{643F4ED9-B875-0900-9902-224AFD25E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068300"/>
          <a:ext cx="5657850" cy="148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19050</xdr:rowOff>
    </xdr:from>
    <xdr:to>
      <xdr:col>2</xdr:col>
      <xdr:colOff>1685925</xdr:colOff>
      <xdr:row>11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C9654-FB7B-2375-90E9-A0A1460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09575"/>
          <a:ext cx="5695950" cy="1704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457200</xdr:colOff>
      <xdr:row>33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1E3EB-B675-E6EC-84E2-7AA236BD52B3}"/>
            </a:ext>
            <a:ext uri="{147F2762-F138-4A5C-976F-8EAC2B608ADB}">
              <a16:predDERef xmlns:a16="http://schemas.microsoft.com/office/drawing/2014/main" pred="{8AAC9654-FB7B-2375-90E9-A0A1460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19650"/>
          <a:ext cx="6829425" cy="1876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</xdr:col>
      <xdr:colOff>1581150</xdr:colOff>
      <xdr:row>53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54DD7C-A59C-48C7-14B7-67DB44220E3C}"/>
            </a:ext>
            <a:ext uri="{147F2762-F138-4A5C-976F-8EAC2B608ADB}">
              <a16:predDERef xmlns:a16="http://schemas.microsoft.com/office/drawing/2014/main" pred="{32F1E3EB-B675-E6EC-84E2-7AA236BD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067800"/>
          <a:ext cx="5619750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2</xdr:col>
      <xdr:colOff>2171700</xdr:colOff>
      <xdr:row>74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1C07A2-17FD-CC08-1567-768B9F7BDCE9}"/>
            </a:ext>
            <a:ext uri="{147F2762-F138-4A5C-976F-8EAC2B608ADB}">
              <a16:predDERef xmlns:a16="http://schemas.microsoft.com/office/drawing/2014/main" pred="{1854DD7C-A59C-48C7-14B7-67DB44220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306425"/>
          <a:ext cx="6210300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D6C976-E696-4E6E-80BD-E6527C5731A0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3l_tGhfatimhTjDugutf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F754-CAD8-4413-9A21-B92A66B8BE0D}">
  <dimension ref="A1:P82"/>
  <sheetViews>
    <sheetView topLeftCell="A62" workbookViewId="0">
      <selection activeCell="A82" sqref="A82:P82"/>
    </sheetView>
  </sheetViews>
  <sheetFormatPr defaultRowHeight="15"/>
  <cols>
    <col min="1" max="1" width="14.85546875" customWidth="1"/>
    <col min="2" max="2" width="13.140625" bestFit="1" customWidth="1"/>
    <col min="3" max="3" width="10.7109375" bestFit="1" customWidth="1"/>
    <col min="4" max="4" width="14.7109375" customWidth="1"/>
    <col min="5" max="5" width="18.7109375" customWidth="1"/>
    <col min="6" max="6" width="36.5703125" bestFit="1" customWidth="1"/>
    <col min="7" max="7" width="30.42578125" bestFit="1" customWidth="1"/>
    <col min="8" max="8" width="10.85546875" customWidth="1"/>
    <col min="10" max="10" width="16.7109375" customWidth="1"/>
  </cols>
  <sheetData>
    <row r="1" spans="1:10" ht="15.75">
      <c r="A1" s="4" t="s">
        <v>0</v>
      </c>
    </row>
    <row r="14" spans="1:10" ht="15.75">
      <c r="A14" s="6" t="s">
        <v>1</v>
      </c>
      <c r="B14" s="34" t="s">
        <v>2</v>
      </c>
      <c r="C14" s="34" t="s">
        <v>3</v>
      </c>
      <c r="D14" s="34" t="s">
        <v>4</v>
      </c>
    </row>
    <row r="15" spans="1:10" ht="18.75">
      <c r="B15" s="2" t="s">
        <v>5</v>
      </c>
      <c r="C15" s="2">
        <v>45</v>
      </c>
      <c r="D15" s="2" t="str">
        <f>IF(C15&gt;=40,"Pass","Fail")</f>
        <v>Pass</v>
      </c>
      <c r="E15" s="12" t="s">
        <v>6</v>
      </c>
      <c r="F15" s="7" t="s">
        <v>7</v>
      </c>
      <c r="G15" s="7"/>
      <c r="H15" s="9"/>
      <c r="I15" s="9"/>
      <c r="J15" s="9"/>
    </row>
    <row r="16" spans="1:10" ht="18.75">
      <c r="B16" s="2" t="s">
        <v>8</v>
      </c>
      <c r="C16" s="2">
        <v>72</v>
      </c>
      <c r="D16" s="2" t="str">
        <f t="shared" ref="D16:D19" si="0">IF(C16&gt;=40,"Pass","Fail")</f>
        <v>Pass</v>
      </c>
      <c r="E16" s="12" t="s">
        <v>6</v>
      </c>
      <c r="F16" s="8" t="s">
        <v>9</v>
      </c>
      <c r="G16" s="16" t="s">
        <v>10</v>
      </c>
      <c r="H16" s="11"/>
      <c r="I16" s="10"/>
      <c r="J16" s="10"/>
    </row>
    <row r="17" spans="1:16">
      <c r="B17" s="2" t="s">
        <v>11</v>
      </c>
      <c r="C17" s="2">
        <v>55</v>
      </c>
      <c r="D17" s="2" t="str">
        <f t="shared" si="0"/>
        <v>Pass</v>
      </c>
    </row>
    <row r="18" spans="1:16">
      <c r="B18" s="2" t="s">
        <v>12</v>
      </c>
      <c r="C18" s="2">
        <v>80</v>
      </c>
      <c r="D18" s="2" t="str">
        <f t="shared" si="0"/>
        <v>Pass</v>
      </c>
    </row>
    <row r="19" spans="1:16">
      <c r="B19" s="2" t="s">
        <v>13</v>
      </c>
      <c r="C19" s="2">
        <v>30</v>
      </c>
      <c r="D19" s="2" t="str">
        <f t="shared" si="0"/>
        <v>Fail</v>
      </c>
    </row>
    <row r="20" spans="1:16">
      <c r="B20" s="15"/>
      <c r="C20" s="15"/>
      <c r="D20" s="15"/>
    </row>
    <row r="21" spans="1:16">
      <c r="B21" s="15"/>
      <c r="C21" s="15"/>
      <c r="D21" s="15"/>
    </row>
    <row r="23" spans="1:16" ht="31.5">
      <c r="A23" s="42" t="s">
        <v>14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5" spans="1:16" ht="15.75">
      <c r="A25" s="4" t="s">
        <v>15</v>
      </c>
    </row>
    <row r="37" spans="1:16" ht="15.75">
      <c r="A37" s="6" t="s">
        <v>1</v>
      </c>
      <c r="B37" s="34" t="s">
        <v>16</v>
      </c>
      <c r="C37" s="34" t="s">
        <v>17</v>
      </c>
      <c r="D37" s="35" t="s">
        <v>18</v>
      </c>
      <c r="E37" s="32" t="s">
        <v>4</v>
      </c>
    </row>
    <row r="38" spans="1:16" ht="18.75" customHeight="1">
      <c r="B38" s="2" t="s">
        <v>19</v>
      </c>
      <c r="C38" s="2">
        <v>55000</v>
      </c>
      <c r="D38" s="3">
        <v>95</v>
      </c>
      <c r="E38" s="14" t="str">
        <f>IF(AND(C38&gt;40000,D38&gt;=90),"Bonus","No-Bonus")</f>
        <v>Bonus</v>
      </c>
      <c r="F38" s="17" t="s">
        <v>20</v>
      </c>
      <c r="G38" s="18"/>
      <c r="H38" s="18"/>
    </row>
    <row r="39" spans="1:16">
      <c r="B39" s="2" t="s">
        <v>21</v>
      </c>
      <c r="C39" s="2">
        <v>65000</v>
      </c>
      <c r="D39" s="3">
        <v>85</v>
      </c>
      <c r="E39" s="14" t="str">
        <f t="shared" ref="E39:E41" si="1">IF(AND(C39&gt;40000,D39&gt;=90),"Bonus","No-Bonus")</f>
        <v>No-Bonus</v>
      </c>
    </row>
    <row r="40" spans="1:16">
      <c r="B40" s="2" t="s">
        <v>22</v>
      </c>
      <c r="C40" s="2">
        <v>30000</v>
      </c>
      <c r="D40" s="3">
        <v>90</v>
      </c>
      <c r="E40" s="14" t="str">
        <f t="shared" si="1"/>
        <v>No-Bonus</v>
      </c>
    </row>
    <row r="41" spans="1:16">
      <c r="B41" s="2" t="s">
        <v>23</v>
      </c>
      <c r="C41" s="2">
        <v>25000</v>
      </c>
      <c r="D41" s="3">
        <v>65</v>
      </c>
      <c r="E41" s="14" t="str">
        <f t="shared" si="1"/>
        <v>No-Bonus</v>
      </c>
    </row>
    <row r="43" spans="1:16" ht="31.5">
      <c r="A43" s="42" t="s">
        <v>14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</row>
    <row r="44" spans="1:16" ht="15.75">
      <c r="A44" s="4" t="s">
        <v>24</v>
      </c>
    </row>
    <row r="56" spans="1:16" ht="15.75">
      <c r="A56" s="6" t="s">
        <v>1</v>
      </c>
      <c r="B56" s="32" t="s">
        <v>2</v>
      </c>
      <c r="C56" s="32" t="s">
        <v>3</v>
      </c>
      <c r="D56" s="32" t="s">
        <v>4</v>
      </c>
    </row>
    <row r="57" spans="1:16" ht="13.5" customHeight="1">
      <c r="B57" s="13" t="s">
        <v>25</v>
      </c>
      <c r="C57" s="13">
        <v>85</v>
      </c>
      <c r="D57" s="14" t="str">
        <f>IF(C57&gt;=90,"A",IF(C57&gt;=75,"B",IF(C57&gt;=50,"C","Fail")))</f>
        <v>B</v>
      </c>
      <c r="E57" s="19" t="s">
        <v>26</v>
      </c>
      <c r="F57" s="20"/>
      <c r="G57" s="20"/>
    </row>
    <row r="58" spans="1:16">
      <c r="B58" s="13" t="s">
        <v>27</v>
      </c>
      <c r="C58" s="13">
        <v>96</v>
      </c>
      <c r="D58" s="13" t="str">
        <f>IF(C58&gt;=90,"A",IF(C58&gt;=75,"B",IF(C58&gt;=50,"C","Fail")))</f>
        <v>A</v>
      </c>
    </row>
    <row r="59" spans="1:16">
      <c r="B59" s="13" t="s">
        <v>28</v>
      </c>
      <c r="C59" s="13">
        <v>57</v>
      </c>
      <c r="D59" s="14" t="str">
        <f t="shared" ref="D59:D61" si="2">IF(C59&gt;=90,"A",IF(C59&gt;=75,"B",IF(C59&gt;=50,"C","Fail")))</f>
        <v>C</v>
      </c>
    </row>
    <row r="60" spans="1:16">
      <c r="B60" s="13" t="s">
        <v>29</v>
      </c>
      <c r="C60" s="13">
        <v>92</v>
      </c>
      <c r="D60" s="13" t="str">
        <f t="shared" si="2"/>
        <v>A</v>
      </c>
    </row>
    <row r="61" spans="1:16">
      <c r="B61" s="13" t="s">
        <v>30</v>
      </c>
      <c r="C61" s="13">
        <v>75</v>
      </c>
      <c r="D61" s="14" t="str">
        <f t="shared" si="2"/>
        <v>B</v>
      </c>
    </row>
    <row r="63" spans="1:16" ht="31.5">
      <c r="A63" s="42" t="s">
        <v>14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</row>
    <row r="64" spans="1:16" ht="15.75">
      <c r="A64" s="4" t="s">
        <v>31</v>
      </c>
    </row>
    <row r="74" spans="1:10" ht="15.75">
      <c r="A74" s="6" t="s">
        <v>1</v>
      </c>
      <c r="B74" s="32" t="s">
        <v>32</v>
      </c>
      <c r="C74" s="32" t="s">
        <v>33</v>
      </c>
      <c r="D74" s="32" t="s">
        <v>34</v>
      </c>
    </row>
    <row r="75" spans="1:10">
      <c r="B75" s="13" t="s">
        <v>35</v>
      </c>
      <c r="C75" s="13" t="s">
        <v>11</v>
      </c>
      <c r="D75" s="13" t="s">
        <v>36</v>
      </c>
    </row>
    <row r="76" spans="1:10">
      <c r="B76" s="13" t="s">
        <v>37</v>
      </c>
      <c r="C76" s="13" t="s">
        <v>5</v>
      </c>
      <c r="D76" s="25" t="s">
        <v>38</v>
      </c>
      <c r="E76" s="24" t="s">
        <v>39</v>
      </c>
      <c r="F76" s="24"/>
      <c r="G76" s="24"/>
      <c r="H76" s="24"/>
      <c r="I76" s="24"/>
      <c r="J76" s="24"/>
    </row>
    <row r="77" spans="1:10" ht="15.75">
      <c r="B77" s="13" t="s">
        <v>40</v>
      </c>
      <c r="C77" s="13" t="s">
        <v>41</v>
      </c>
      <c r="D77" s="25" t="s">
        <v>42</v>
      </c>
      <c r="E77" s="27" t="s">
        <v>43</v>
      </c>
      <c r="F77" s="27"/>
      <c r="G77" s="26"/>
      <c r="H77" s="26"/>
      <c r="I77" s="26"/>
      <c r="J77" s="26"/>
    </row>
    <row r="78" spans="1:10">
      <c r="B78" s="13" t="s">
        <v>44</v>
      </c>
      <c r="C78" s="13" t="s">
        <v>45</v>
      </c>
      <c r="D78" s="13" t="s">
        <v>17</v>
      </c>
    </row>
    <row r="80" spans="1:10">
      <c r="A80" s="21" t="s">
        <v>46</v>
      </c>
      <c r="B80" s="5" t="str">
        <f>VLOOKUP(B77,B74:D78,3,FALSE)</f>
        <v>Finance</v>
      </c>
    </row>
    <row r="82" spans="1:16" ht="31.5">
      <c r="A82" s="42" t="s">
        <v>14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</row>
  </sheetData>
  <mergeCells count="9">
    <mergeCell ref="E57:G57"/>
    <mergeCell ref="A63:P63"/>
    <mergeCell ref="E76:J76"/>
    <mergeCell ref="E77:F77"/>
    <mergeCell ref="A82:P82"/>
    <mergeCell ref="F15:J15"/>
    <mergeCell ref="A23:P23"/>
    <mergeCell ref="A43:P43"/>
    <mergeCell ref="F38:H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62E5-3008-46E3-833F-24F92C4AD872}">
  <dimension ref="A1:P86"/>
  <sheetViews>
    <sheetView tabSelected="1" topLeftCell="A24" workbookViewId="0">
      <selection activeCell="A86" sqref="A86:P86"/>
    </sheetView>
  </sheetViews>
  <sheetFormatPr defaultRowHeight="15"/>
  <cols>
    <col min="1" max="1" width="15" bestFit="1" customWidth="1"/>
    <col min="2" max="2" width="45.5703125" bestFit="1" customWidth="1"/>
    <col min="3" max="3" width="35" bestFit="1" customWidth="1"/>
    <col min="4" max="4" width="19.140625" customWidth="1"/>
    <col min="7" max="7" width="28.28515625" customWidth="1"/>
  </cols>
  <sheetData>
    <row r="1" spans="1:7" ht="15.75">
      <c r="A1" s="4" t="s">
        <v>47</v>
      </c>
    </row>
    <row r="13" spans="1:7" ht="15.75">
      <c r="A13" s="6" t="s">
        <v>48</v>
      </c>
      <c r="B13" s="32" t="s">
        <v>49</v>
      </c>
      <c r="C13" s="32" t="s">
        <v>50</v>
      </c>
    </row>
    <row r="14" spans="1:7">
      <c r="B14" s="13">
        <v>0</v>
      </c>
      <c r="C14" s="28">
        <v>0.05</v>
      </c>
    </row>
    <row r="15" spans="1:7">
      <c r="B15" s="13">
        <v>20000</v>
      </c>
      <c r="C15" s="28">
        <v>0.1</v>
      </c>
      <c r="D15" s="22" t="s">
        <v>51</v>
      </c>
      <c r="E15" s="23"/>
      <c r="F15" s="23"/>
      <c r="G15" s="23"/>
    </row>
    <row r="16" spans="1:7">
      <c r="B16" s="13">
        <v>50000</v>
      </c>
      <c r="C16" s="28">
        <v>0.15</v>
      </c>
    </row>
    <row r="17" spans="1:16">
      <c r="B17" s="13">
        <v>80000</v>
      </c>
      <c r="C17" s="28">
        <v>0.2</v>
      </c>
    </row>
    <row r="19" spans="1:16" ht="15.75">
      <c r="A19" s="6" t="s">
        <v>46</v>
      </c>
      <c r="B19" s="1" t="s">
        <v>52</v>
      </c>
    </row>
    <row r="21" spans="1:16">
      <c r="A21" s="21" t="s">
        <v>53</v>
      </c>
      <c r="B21" s="29">
        <f>VLOOKUP(45000,B13:C17,2,TRUE)</f>
        <v>0.1</v>
      </c>
      <c r="C21" s="16" t="s">
        <v>54</v>
      </c>
    </row>
    <row r="23" spans="1:16" ht="31.5">
      <c r="A23" s="42" t="s">
        <v>14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spans="1:16" ht="15.75">
      <c r="A24" s="4" t="s">
        <v>55</v>
      </c>
    </row>
    <row r="36" spans="1:16" ht="15.75">
      <c r="A36" s="6" t="s">
        <v>48</v>
      </c>
      <c r="B36" s="32" t="s">
        <v>56</v>
      </c>
      <c r="C36" s="32" t="s">
        <v>57</v>
      </c>
      <c r="D36" s="33" t="s">
        <v>58</v>
      </c>
      <c r="E36" s="32" t="s">
        <v>4</v>
      </c>
    </row>
    <row r="37" spans="1:16">
      <c r="B37" s="13" t="s">
        <v>59</v>
      </c>
      <c r="C37" s="13">
        <v>10</v>
      </c>
      <c r="D37" s="25">
        <v>12</v>
      </c>
      <c r="E37" s="13" t="str">
        <f>IF(C37&gt;D37,"Ecxeed","OK")</f>
        <v>OK</v>
      </c>
    </row>
    <row r="38" spans="1:16">
      <c r="B38" s="13" t="s">
        <v>60</v>
      </c>
      <c r="C38" s="13">
        <v>10</v>
      </c>
      <c r="D38" s="25">
        <v>15</v>
      </c>
      <c r="E38" s="13" t="str">
        <f t="shared" ref="E38:E39" si="0">IF(C38&gt;D38,"Ecxeed","OK")</f>
        <v>OK</v>
      </c>
    </row>
    <row r="39" spans="1:16">
      <c r="B39" s="13" t="s">
        <v>61</v>
      </c>
      <c r="C39" s="13">
        <v>8</v>
      </c>
      <c r="D39" s="25">
        <v>12</v>
      </c>
      <c r="E39" s="13" t="str">
        <f t="shared" si="0"/>
        <v>OK</v>
      </c>
    </row>
    <row r="41" spans="1:16" ht="16.5" customHeight="1">
      <c r="A41" s="30" t="s">
        <v>53</v>
      </c>
      <c r="B41" s="31" t="s">
        <v>62</v>
      </c>
    </row>
    <row r="43" spans="1:16" ht="31.5">
      <c r="A43" s="42" t="s">
        <v>14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</row>
    <row r="45" spans="1:16" ht="15.75">
      <c r="A45" s="4" t="s">
        <v>63</v>
      </c>
    </row>
    <row r="55" spans="1:16" ht="15.75">
      <c r="A55" s="6" t="s">
        <v>48</v>
      </c>
      <c r="B55" s="32" t="s">
        <v>32</v>
      </c>
      <c r="C55" s="32" t="s">
        <v>64</v>
      </c>
    </row>
    <row r="56" spans="1:16">
      <c r="B56" s="13" t="s">
        <v>44</v>
      </c>
      <c r="C56" s="36">
        <v>55000</v>
      </c>
    </row>
    <row r="57" spans="1:16">
      <c r="B57" s="13" t="s">
        <v>65</v>
      </c>
      <c r="C57" s="36">
        <v>72000</v>
      </c>
    </row>
    <row r="58" spans="1:16">
      <c r="B58" s="13" t="s">
        <v>66</v>
      </c>
      <c r="C58" s="36">
        <v>62000</v>
      </c>
    </row>
    <row r="59" spans="1:16">
      <c r="B59" s="13" t="s">
        <v>37</v>
      </c>
      <c r="C59" s="36">
        <v>41000</v>
      </c>
    </row>
    <row r="61" spans="1:16" ht="15.75">
      <c r="A61" s="37" t="s">
        <v>46</v>
      </c>
      <c r="B61" s="39">
        <f>INDEX(C56:C59,MATCH("E105",B56:B59,0))</f>
        <v>72000</v>
      </c>
    </row>
    <row r="62" spans="1:16">
      <c r="A62" s="21" t="s">
        <v>53</v>
      </c>
      <c r="B62" s="38" t="s">
        <v>67</v>
      </c>
    </row>
    <row r="64" spans="1:16" ht="31.5">
      <c r="A64" s="42" t="s">
        <v>14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</row>
    <row r="66" spans="1:3" ht="15.75">
      <c r="A66" s="4" t="s">
        <v>68</v>
      </c>
    </row>
    <row r="76" spans="1:3" ht="15.75">
      <c r="A76" s="6" t="s">
        <v>48</v>
      </c>
      <c r="B76" s="32" t="s">
        <v>32</v>
      </c>
      <c r="C76" s="32" t="s">
        <v>34</v>
      </c>
    </row>
    <row r="77" spans="1:3">
      <c r="B77" s="13" t="s">
        <v>35</v>
      </c>
      <c r="C77" s="13" t="s">
        <v>38</v>
      </c>
    </row>
    <row r="78" spans="1:3">
      <c r="B78" s="13" t="s">
        <v>69</v>
      </c>
      <c r="C78" s="13" t="s">
        <v>36</v>
      </c>
    </row>
    <row r="79" spans="1:3">
      <c r="B79" s="13" t="s">
        <v>66</v>
      </c>
      <c r="C79" s="13" t="s">
        <v>17</v>
      </c>
    </row>
    <row r="80" spans="1:3">
      <c r="B80" s="13" t="s">
        <v>70</v>
      </c>
      <c r="C80" s="13" t="s">
        <v>42</v>
      </c>
    </row>
    <row r="82" spans="1:16" ht="15.75">
      <c r="A82" s="37" t="s">
        <v>46</v>
      </c>
      <c r="B82" s="40" t="str">
        <f>_xlfn.XLOOKUP(B78,B76:B80,C76:C80)</f>
        <v>IT</v>
      </c>
    </row>
    <row r="83" spans="1:16">
      <c r="A83" s="30" t="s">
        <v>53</v>
      </c>
      <c r="B83" s="41" t="s">
        <v>71</v>
      </c>
    </row>
    <row r="86" spans="1:16" ht="31.5">
      <c r="A86" s="42" t="s">
        <v>72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</row>
  </sheetData>
  <mergeCells count="5">
    <mergeCell ref="D15:G15"/>
    <mergeCell ref="A23:P23"/>
    <mergeCell ref="A43:P43"/>
    <mergeCell ref="A64:P64"/>
    <mergeCell ref="A86:P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Pranay Ghodke</cp:lastModifiedBy>
  <cp:revision/>
  <dcterms:created xsi:type="dcterms:W3CDTF">2025-11-26T11:30:23Z</dcterms:created>
  <dcterms:modified xsi:type="dcterms:W3CDTF">2026-01-17T09:47:40Z</dcterms:modified>
  <cp:category/>
  <cp:contentStatus/>
</cp:coreProperties>
</file>